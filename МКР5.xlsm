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8_{F7E8F1F4-DC7B-4555-9FAA-D0A9FDD17DCD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Const_p216" sheetId="1" r:id="rId1"/>
    <sheet name="Var_p355" sheetId="2" r:id="rId2"/>
    <sheet name="Const_p105" sheetId="3" r:id="rId3"/>
    <sheet name="Var_p105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2" l="1"/>
  <c r="Q13" i="2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0" i="2" l="1"/>
  <c r="Q17" i="2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H17" i="4" l="1"/>
  <c r="H18" i="4" s="1"/>
  <c r="H19" i="4" s="1"/>
  <c r="H21" i="4" s="1"/>
  <c r="Q14" i="4"/>
  <c r="Q13" i="4"/>
  <c r="Q17" i="4" s="1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M13" i="4"/>
  <c r="L13" i="4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4" i="4"/>
  <c r="Q10" i="4" s="1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K13" i="3"/>
  <c r="K17" i="3" s="1"/>
  <c r="K18" i="3" s="1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H4" i="3" s="1"/>
  <c r="L17" i="4" l="1"/>
  <c r="L18" i="4" s="1"/>
  <c r="L19" i="4" s="1"/>
  <c r="L21" i="4" s="1"/>
  <c r="K19" i="3"/>
  <c r="N19" i="3"/>
  <c r="O20" i="4"/>
  <c r="O22" i="4"/>
  <c r="Q15" i="4"/>
  <c r="Q18" i="4"/>
  <c r="Q19" i="4" s="1"/>
  <c r="Q21" i="4" s="1"/>
  <c r="J20" i="4"/>
  <c r="J22" i="4"/>
  <c r="H20" i="4"/>
  <c r="H22" i="4"/>
  <c r="H10" i="4"/>
  <c r="G13" i="4"/>
  <c r="G10" i="4" s="1"/>
  <c r="M19" i="4"/>
  <c r="M21" i="4" s="1"/>
  <c r="P20" i="4"/>
  <c r="P22" i="4"/>
  <c r="M17" i="4"/>
  <c r="M18" i="4" s="1"/>
  <c r="I3" i="4"/>
  <c r="N17" i="4"/>
  <c r="N18" i="4" s="1"/>
  <c r="N19" i="4" s="1"/>
  <c r="N21" i="4" s="1"/>
  <c r="I19" i="4"/>
  <c r="I21" i="4" s="1"/>
  <c r="K19" i="4"/>
  <c r="K21" i="4" s="1"/>
  <c r="O19" i="3"/>
  <c r="H10" i="3"/>
  <c r="G13" i="3"/>
  <c r="G10" i="3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3" i="1"/>
  <c r="I4" i="1" s="1"/>
  <c r="H3" i="1"/>
  <c r="H4" i="1" s="1"/>
  <c r="G13" i="1" s="1"/>
  <c r="L22" i="4" l="1"/>
  <c r="L20" i="4"/>
  <c r="G10" i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G23" i="4" s="1"/>
  <c r="J4" i="4"/>
  <c r="J10" i="4" s="1"/>
  <c r="K3" i="4"/>
  <c r="H11" i="4"/>
  <c r="H14" i="4" s="1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I11" i="3"/>
  <c r="I14" i="3" s="1"/>
  <c r="L3" i="3"/>
  <c r="K4" i="3"/>
  <c r="K10" i="3" s="1"/>
  <c r="J11" i="3" s="1"/>
  <c r="J14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M3" i="3"/>
  <c r="L4" i="3"/>
  <c r="L10" i="3" s="1"/>
  <c r="K11" i="3" s="1"/>
  <c r="K14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M11" i="3"/>
  <c r="M14" i="3" s="1"/>
  <c r="O4" i="3"/>
  <c r="O10" i="3" s="1"/>
  <c r="N11" i="3" s="1"/>
  <c r="N14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<sst xmlns="http://schemas.openxmlformats.org/spreadsheetml/2006/main" count="105" uniqueCount="23">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</sst>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0" fontId="0" fillId="2" borderId="1" xfId="0" applyNumberFormat="1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3" borderId="1" xfId="0" applyNumberFormat="1" applyFill="1" applyBorder="1"/>
    <xf numFmtId="0" fontId="0" fillId="0" borderId="0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2" borderId="1" xfId="0" applyFill="1" applyBorder="1"/>
    <xf numFmtId="166" fontId="0" fillId="4" borderId="1" xfId="0" applyNumberFormat="1" applyFill="1" applyBorder="1"/>
    <xf numFmtId="0" fontId="0" fillId="3" borderId="1" xfId="0" applyFill="1" applyBorder="1"/>
    <xf numFmtId="2" fontId="0" fillId="4" borderId="1" xfId="0" applyNumberFormat="1" applyFill="1" applyBorder="1"/>
    <xf numFmtId="1" fontId="0" fillId="3" borderId="1" xfId="0" applyNumberFormat="1" applyFill="1" applyBorder="1"/>
    <xf numFmtId="1" fontId="0" fillId="4" borderId="1" xfId="0" applyNumberFormat="1" applyFill="1" applyBorder="1"/>
    <xf numFmtId="165" fontId="0" fillId="4" borderId="1" xfId="0" applyNumberFormat="1" applyFill="1" applyBorder="1"/>
    <xf numFmtId="0" fontId="0" fillId="4" borderId="0" xfId="0" applyFill="1"/>
    <xf numFmtId="0" fontId="0" fillId="0" borderId="0" xfId="0" applyBorder="1"/>
    <xf numFmtId="0" fontId="0" fillId="5" borderId="1" xfId="0" applyFill="1" applyBorder="1"/>
    <xf numFmtId="0" fontId="0" fillId="6" borderId="1" xfId="0" applyFill="1" applyBorder="1"/>
    <xf numFmtId="0" fontId="2" fillId="7" borderId="1" xfId="0" applyFont="1" applyFill="1" applyBorder="1"/>
    <xf numFmtId="0" fontId="0" fillId="5" borderId="1" xfId="0" applyNumberFormat="1" applyFill="1" applyBorder="1"/>
    <xf numFmtId="0" fontId="0" fillId="6" borderId="1" xfId="0" applyNumberFormat="1" applyFill="1" applyBorder="1"/>
    <xf numFmtId="0" fontId="2" fillId="7" borderId="1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D4-4B1F-9B5C-4502F9D48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[1]const_p_135!$G$10:$Q$10</c:f>
              <c:numCache>
                <c:formatCode>General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4-4DFA-AE10-61B3AE5EF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43-459C-A4F5-D114C8627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D6-4AC6-BFAB-5D2DD7537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636884872785734"/>
          <c:y val="5.277552713161231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7216796796523998"/>
          <c:w val="0.61760467210971326"/>
          <c:h val="0.73500047691570747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7030A0"/>
              </a:solidFill>
            </a:ln>
          </c:spPr>
          <c:val>
            <c:numRef>
              <c:f>[1]var_p_135!$G$14:$Q$14</c:f>
              <c:numCache>
                <c:formatCode>General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F-4B78-9E29-584349B61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spPr>
            <a:ln>
              <a:solidFill>
                <a:srgbClr val="7030A0"/>
              </a:solidFill>
            </a:ln>
          </c:spPr>
          <c:val>
            <c:numRef>
              <c:f>[1]var_p_135!$G$3:$Q$3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2-4A4C-B525-49AF5EEA7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78417912887145E-2"/>
          <c:y val="7.4548808099692512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7030A0"/>
              </a:solidFill>
            </a:ln>
          </c:spPr>
          <c:val>
            <c:numRef>
              <c:f>[1]var_p_135!$G$10:$Q$10</c:f>
              <c:numCache>
                <c:formatCode>General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C-42AD-A7E2-2E9849F57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spPr>
            <a:ln>
              <a:solidFill>
                <a:srgbClr val="7030A0"/>
              </a:solidFill>
            </a:ln>
          </c:spPr>
          <c:val>
            <c:numRef>
              <c:f>[1]var_p_135!$G$13:$Q$13</c:f>
              <c:numCache>
                <c:formatCode>General</c:formatCode>
                <c:ptCount val="11"/>
                <c:pt idx="0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A-4C48-8B4B-57C2FEFED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7244377049678E-2"/>
          <c:y val="0.14030587550383999"/>
          <c:w val="0.87068384790668529"/>
          <c:h val="0.76686257000773406"/>
        </c:manualLayout>
      </c:layout>
      <c:lineChart>
        <c:grouping val="stacked"/>
        <c:varyColors val="0"/>
        <c:ser>
          <c:idx val="0"/>
          <c:order val="0"/>
          <c:spPr>
            <a:ln>
              <a:solidFill>
                <a:srgbClr val="7030A0"/>
              </a:solidFill>
            </a:ln>
          </c:spPr>
          <c:val>
            <c:numRef>
              <c:f>[1]const_p_105!$G$3:$Q$3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0-4E0F-BB3C-99718A61C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3416"/>
        <c:axId val="350362240"/>
      </c:lineChart>
      <c:catAx>
        <c:axId val="35036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2240"/>
        <c:crosses val="autoZero"/>
        <c:auto val="1"/>
        <c:lblAlgn val="ctr"/>
        <c:lblOffset val="100"/>
        <c:noMultiLvlLbl val="0"/>
      </c:catAx>
      <c:valAx>
        <c:axId val="3503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34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452182246933767"/>
          <c:y val="3.988603272790314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0.11842320148539355"/>
          <c:w val="0.70526137357830321"/>
          <c:h val="0.78874504094128528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7030A0"/>
              </a:solidFill>
            </a:ln>
          </c:spPr>
          <c:val>
            <c:numRef>
              <c:f>[1]const_p_105!$G$10:$Q$10</c:f>
              <c:numCache>
                <c:formatCode>General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A-4C6B-9F62-FD13F093B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376"/>
        <c:axId val="350358320"/>
      </c:lineChart>
      <c:catAx>
        <c:axId val="35036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8320"/>
        <c:crosses val="autoZero"/>
        <c:auto val="1"/>
        <c:lblAlgn val="ctr"/>
        <c:lblOffset val="100"/>
        <c:noMultiLvlLbl val="0"/>
      </c:catAx>
      <c:valAx>
        <c:axId val="35035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3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883071626123379"/>
          <c:y val="5.246769295256915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471"/>
          <c:h val="0.7850886415151088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7030A0"/>
              </a:solidFill>
            </a:ln>
          </c:spPr>
          <c:val>
            <c:numRef>
              <c:f>[1]const_p_105!$G$14:$Q$14</c:f>
              <c:numCache>
                <c:formatCode>General</c:formatCode>
                <c:ptCount val="11"/>
                <c:pt idx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91-4DFF-A8DE-6E6F5B016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58712"/>
        <c:axId val="350359104"/>
      </c:lineChart>
      <c:catAx>
        <c:axId val="35035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104"/>
        <c:crosses val="autoZero"/>
        <c:auto val="1"/>
        <c:lblAlgn val="ctr"/>
        <c:lblOffset val="100"/>
        <c:noMultiLvlLbl val="0"/>
      </c:catAx>
      <c:valAx>
        <c:axId val="35035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587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90746575345202E-2"/>
          <c:y val="0.11639446171946691"/>
          <c:w val="0.90614185656268886"/>
          <c:h val="0.78341236734850694"/>
        </c:manualLayout>
      </c:layout>
      <c:lineChart>
        <c:grouping val="stacked"/>
        <c:varyColors val="0"/>
        <c:ser>
          <c:idx val="0"/>
          <c:order val="0"/>
          <c:spPr>
            <a:ln>
              <a:solidFill>
                <a:srgbClr val="7030A0"/>
              </a:solidFill>
            </a:ln>
          </c:spPr>
          <c:val>
            <c:numRef>
              <c:f>[1]const_p_105!$G$13:$Q$13</c:f>
              <c:numCache>
                <c:formatCode>General</c:formatCode>
                <c:ptCount val="11"/>
                <c:pt idx="0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9-41AA-9C09-FB79E888D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6496"/>
        <c:axId val="349939728"/>
      </c:lineChart>
      <c:catAx>
        <c:axId val="3126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9728"/>
        <c:crosses val="autoZero"/>
        <c:auto val="1"/>
        <c:lblAlgn val="ctr"/>
        <c:lblOffset val="100"/>
        <c:noMultiLvlLbl val="0"/>
      </c:catAx>
      <c:valAx>
        <c:axId val="34993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64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spPr>
            <a:ln>
              <a:solidFill>
                <a:srgbClr val="7030A0"/>
              </a:solidFill>
            </a:ln>
          </c:spPr>
          <c:val>
            <c:numRef>
              <c:f>[1]var_p_105!$G$3:$Q$3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1-408C-B001-3599F7472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0120"/>
        <c:axId val="349936984"/>
      </c:lineChart>
      <c:catAx>
        <c:axId val="34994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6984"/>
        <c:crosses val="autoZero"/>
        <c:auto val="1"/>
        <c:lblAlgn val="ctr"/>
        <c:lblOffset val="100"/>
        <c:noMultiLvlLbl val="0"/>
      </c:catAx>
      <c:valAx>
        <c:axId val="34993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012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0.14735402898257166"/>
          <c:w val="0.70526137357830343"/>
          <c:h val="0.75981428631030357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7030A0"/>
              </a:solidFill>
            </a:ln>
          </c:spPr>
          <c:val>
            <c:numRef>
              <c:f>[1]var_p_105!$G$10:$Q$10</c:f>
              <c:numCache>
                <c:formatCode>General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7-40A5-989A-79F402042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864"/>
        <c:axId val="349942472"/>
      </c:lineChart>
      <c:catAx>
        <c:axId val="34994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42472"/>
        <c:crosses val="autoZero"/>
        <c:auto val="1"/>
        <c:lblAlgn val="ctr"/>
        <c:lblOffset val="100"/>
        <c:noMultiLvlLbl val="0"/>
      </c:catAx>
      <c:valAx>
        <c:axId val="349942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67832446364686"/>
          <c:y val="4.00569794503777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097"/>
          <c:h val="0.72794647668021895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7030A0"/>
              </a:solidFill>
            </a:ln>
          </c:spPr>
          <c:val>
            <c:numRef>
              <c:f>[1]var_p_105!$G$14:$Q$14</c:f>
              <c:numCache>
                <c:formatCode>General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9-435C-B53B-47670805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36200"/>
        <c:axId val="349938160"/>
      </c:lineChart>
      <c:catAx>
        <c:axId val="349936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8160"/>
        <c:crosses val="autoZero"/>
        <c:auto val="1"/>
        <c:lblAlgn val="ctr"/>
        <c:lblOffset val="100"/>
        <c:noMultiLvlLbl val="0"/>
      </c:catAx>
      <c:valAx>
        <c:axId val="34993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3620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533696897268734E-2"/>
          <c:y val="0.13027108842765772"/>
          <c:w val="0.84708651405317503"/>
          <c:h val="0.76807003226885617"/>
        </c:manualLayout>
      </c:layout>
      <c:lineChart>
        <c:grouping val="stacked"/>
        <c:varyColors val="0"/>
        <c:ser>
          <c:idx val="0"/>
          <c:order val="0"/>
          <c:spPr>
            <a:ln>
              <a:solidFill>
                <a:srgbClr val="7030A0"/>
              </a:solidFill>
            </a:ln>
          </c:spPr>
          <c:val>
            <c:numRef>
              <c:f>[1]var_p_105!$G$13:$Q$13</c:f>
              <c:numCache>
                <c:formatCode>General</c:formatCode>
                <c:ptCount val="11"/>
                <c:pt idx="0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F-4731-A393-5AFB0B610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080"/>
        <c:axId val="349937768"/>
      </c:lineChart>
      <c:catAx>
        <c:axId val="3499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7768"/>
        <c:crosses val="autoZero"/>
        <c:auto val="1"/>
        <c:lblAlgn val="ctr"/>
        <c:lblOffset val="100"/>
        <c:noMultiLvlLbl val="0"/>
      </c:catAx>
      <c:valAx>
        <c:axId val="349937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0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446313</xdr:colOff>
      <xdr:row>0</xdr:row>
      <xdr:rowOff>18142</xdr:rowOff>
    </xdr:from>
    <xdr:to>
      <xdr:col>26</xdr:col>
      <xdr:colOff>39189</xdr:colOff>
      <xdr:row>15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582386</xdr:colOff>
      <xdr:row>0</xdr:row>
      <xdr:rowOff>0</xdr:rowOff>
    </xdr:from>
    <xdr:to>
      <xdr:col>34</xdr:col>
      <xdr:colOff>469900</xdr:colOff>
      <xdr:row>16</xdr:row>
      <xdr:rowOff>68037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455385</xdr:colOff>
      <xdr:row>18</xdr:row>
      <xdr:rowOff>88900</xdr:rowOff>
    </xdr:from>
    <xdr:to>
      <xdr:col>26</xdr:col>
      <xdr:colOff>63501</xdr:colOff>
      <xdr:row>34</xdr:row>
      <xdr:rowOff>58058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568778</xdr:colOff>
      <xdr:row>18</xdr:row>
      <xdr:rowOff>76200</xdr:rowOff>
    </xdr:from>
    <xdr:to>
      <xdr:col>34</xdr:col>
      <xdr:colOff>469899</xdr:colOff>
      <xdr:row>33</xdr:row>
      <xdr:rowOff>172358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15240</xdr:rowOff>
        </xdr:from>
        <xdr:to>
          <xdr:col>2</xdr:col>
          <xdr:colOff>594360</xdr:colOff>
          <xdr:row>17</xdr:row>
          <xdr:rowOff>22860</xdr:rowOff>
        </xdr:to>
        <xdr:sp macro="" textlink="">
          <xdr:nvSpPr>
            <xdr:cNvPr id="1025" name="Расчет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[m]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0.90022</cdr:x>
      <cdr:y>0.86411</cdr:y>
    </cdr:from>
    <cdr:to>
      <cdr:x>0.9875</cdr:x>
      <cdr:y>0.97733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2457" y="2420600"/>
          <a:ext cx="443319" cy="31715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0.17681</cdr:x>
      <cdr:y>0.13245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8382"/>
          <a:ext cx="664475" cy="26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G,[kg/s]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0.88659</cdr:x>
      <cdr:y>0.86411</cdr:y>
    </cdr:from>
    <cdr:to>
      <cdr:x>0.97387</cdr:x>
      <cdr:y>0.97733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447899" y="2420600"/>
          <a:ext cx="339425" cy="31715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0.35596</cdr:x>
      <cdr:y>0</cdr:y>
    </cdr:from>
    <cdr:to>
      <cdr:x>0.60227</cdr:x>
      <cdr:y>0.16511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84300" y="0"/>
          <a:ext cx="957871" cy="46250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0.90524</cdr:x>
      <cdr:y>0.86421</cdr:y>
    </cdr:from>
    <cdr:to>
      <cdr:x>0.99252</cdr:x>
      <cdr:y>0.97743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611767" y="2431862"/>
          <a:ext cx="444649" cy="31859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0.36895</cdr:x>
      <cdr:y>0.00451</cdr:y>
    </cdr:from>
    <cdr:to>
      <cdr:x>0.62274</cdr:x>
      <cdr:y>0.16813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9600" y="12700"/>
          <a:ext cx="1292951" cy="460415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0.17705</cdr:x>
      <cdr:y>0.1038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9" y="108873"/>
          <a:ext cx="665382" cy="1832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U,[m/s]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0.8768</cdr:x>
      <cdr:y>0.8597</cdr:y>
    </cdr:from>
    <cdr:to>
      <cdr:x>0.96408</cdr:x>
      <cdr:y>0.97292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409799" y="2419162"/>
          <a:ext cx="339425" cy="31859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256720</xdr:colOff>
      <xdr:row>20</xdr:row>
      <xdr:rowOff>83353</xdr:rowOff>
    </xdr:from>
    <xdr:to>
      <xdr:col>25</xdr:col>
      <xdr:colOff>542470</xdr:colOff>
      <xdr:row>35</xdr:row>
      <xdr:rowOff>169637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230822</xdr:colOff>
      <xdr:row>3</xdr:row>
      <xdr:rowOff>29938</xdr:rowOff>
    </xdr:from>
    <xdr:to>
      <xdr:col>26</xdr:col>
      <xdr:colOff>10888</xdr:colOff>
      <xdr:row>18</xdr:row>
      <xdr:rowOff>132892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344234</xdr:colOff>
      <xdr:row>58</xdr:row>
      <xdr:rowOff>96958</xdr:rowOff>
    </xdr:from>
    <xdr:to>
      <xdr:col>26</xdr:col>
      <xdr:colOff>119744</xdr:colOff>
      <xdr:row>77</xdr:row>
      <xdr:rowOff>126093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248183</xdr:colOff>
      <xdr:row>37</xdr:row>
      <xdr:rowOff>109341</xdr:rowOff>
    </xdr:from>
    <xdr:to>
      <xdr:col>25</xdr:col>
      <xdr:colOff>553356</xdr:colOff>
      <xdr:row>56</xdr:row>
      <xdr:rowOff>136981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15</xdr:row>
          <xdr:rowOff>30480</xdr:rowOff>
        </xdr:from>
        <xdr:to>
          <xdr:col>3</xdr:col>
          <xdr:colOff>601980</xdr:colOff>
          <xdr:row>18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357820</xdr:colOff>
      <xdr:row>0</xdr:row>
      <xdr:rowOff>71203</xdr:rowOff>
    </xdr:from>
    <xdr:to>
      <xdr:col>25</xdr:col>
      <xdr:colOff>413657</xdr:colOff>
      <xdr:row>15</xdr:row>
      <xdr:rowOff>108858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274383</xdr:colOff>
      <xdr:row>17</xdr:row>
      <xdr:rowOff>38099</xdr:rowOff>
    </xdr:from>
    <xdr:to>
      <xdr:col>25</xdr:col>
      <xdr:colOff>413657</xdr:colOff>
      <xdr:row>32</xdr:row>
      <xdr:rowOff>97970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401009</xdr:colOff>
      <xdr:row>50</xdr:row>
      <xdr:rowOff>65315</xdr:rowOff>
    </xdr:from>
    <xdr:to>
      <xdr:col>25</xdr:col>
      <xdr:colOff>506185</xdr:colOff>
      <xdr:row>65</xdr:row>
      <xdr:rowOff>146957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402771</xdr:colOff>
      <xdr:row>33</xdr:row>
      <xdr:rowOff>163286</xdr:rowOff>
    </xdr:from>
    <xdr:to>
      <xdr:col>26</xdr:col>
      <xdr:colOff>21771</xdr:colOff>
      <xdr:row>48</xdr:row>
      <xdr:rowOff>163286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22860</xdr:rowOff>
        </xdr:from>
        <xdr:to>
          <xdr:col>4</xdr:col>
          <xdr:colOff>0</xdr:colOff>
          <xdr:row>18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492985</xdr:colOff>
      <xdr:row>1</xdr:row>
      <xdr:rowOff>114301</xdr:rowOff>
    </xdr:from>
    <xdr:to>
      <xdr:col>25</xdr:col>
      <xdr:colOff>596901</xdr:colOff>
      <xdr:row>16</xdr:row>
      <xdr:rowOff>96157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562430</xdr:colOff>
      <xdr:row>18</xdr:row>
      <xdr:rowOff>0</xdr:rowOff>
    </xdr:from>
    <xdr:to>
      <xdr:col>26</xdr:col>
      <xdr:colOff>63500</xdr:colOff>
      <xdr:row>32</xdr:row>
      <xdr:rowOff>153466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569738</xdr:colOff>
      <xdr:row>50</xdr:row>
      <xdr:rowOff>67130</xdr:rowOff>
    </xdr:from>
    <xdr:to>
      <xdr:col>26</xdr:col>
      <xdr:colOff>65314</xdr:colOff>
      <xdr:row>65</xdr:row>
      <xdr:rowOff>121557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558800</xdr:colOff>
      <xdr:row>34</xdr:row>
      <xdr:rowOff>63500</xdr:rowOff>
    </xdr:from>
    <xdr:to>
      <xdr:col>26</xdr:col>
      <xdr:colOff>25400</xdr:colOff>
      <xdr:row>49</xdr:row>
      <xdr:rowOff>127000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15</xdr:row>
          <xdr:rowOff>167640</xdr:rowOff>
        </xdr:from>
        <xdr:to>
          <xdr:col>4</xdr:col>
          <xdr:colOff>15240</xdr:colOff>
          <xdr:row>19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2;&#1080;&#1093;&#1072;&#1080;&#1083;/Downloads/MKR5_Bodrov%20A.A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</sheet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0.45201084371136407</v>
          </cell>
          <cell r="H10">
            <v>0.45201084248514894</v>
          </cell>
          <cell r="I10">
            <v>0.45201077485286445</v>
          </cell>
          <cell r="J10">
            <v>0.45201071834618689</v>
          </cell>
          <cell r="K10">
            <v>0.45201067414804225</v>
          </cell>
          <cell r="L10">
            <v>0.4520106427333081</v>
          </cell>
          <cell r="M10">
            <v>0.45201062359753369</v>
          </cell>
          <cell r="N10">
            <v>0.45201061503429235</v>
          </cell>
          <cell r="O10">
            <v>0.45201061408601589</v>
          </cell>
          <cell r="P10">
            <v>0.45201061686254995</v>
          </cell>
          <cell r="Q10">
            <v>0.4520106194487214</v>
          </cell>
        </row>
        <row r="13">
          <cell r="G13">
            <v>18.971455724631262</v>
          </cell>
          <cell r="H13">
            <v>21.021003515972847</v>
          </cell>
          <cell r="I13">
            <v>23.421546709326705</v>
          </cell>
          <cell r="J13">
            <v>26.258062924428092</v>
          </cell>
          <cell r="K13">
            <v>29.642888449763046</v>
          </cell>
          <cell r="L13">
            <v>33.727017403258657</v>
          </cell>
          <cell r="M13">
            <v>38.717237726899626</v>
          </cell>
          <cell r="N13">
            <v>44.902831069280374</v>
          </cell>
          <cell r="O13">
            <v>52.698461352696171</v>
          </cell>
          <cell r="P13">
            <v>62.715524639686627</v>
          </cell>
          <cell r="Q13">
            <v>75.885785248200023</v>
          </cell>
        </row>
        <row r="14">
          <cell r="G14">
            <v>104786.74969160535</v>
          </cell>
          <cell r="H14">
            <v>104735.69568611095</v>
          </cell>
          <cell r="I14">
            <v>104669.06973389479</v>
          </cell>
          <cell r="J14">
            <v>104580.80925216197</v>
          </cell>
          <cell r="K14">
            <v>104461.91108778602</v>
          </cell>
          <cell r="L14">
            <v>104298.68268580665</v>
          </cell>
          <cell r="M14">
            <v>104069.73174424389</v>
          </cell>
          <cell r="N14">
            <v>103740.59722119931</v>
          </cell>
          <cell r="O14">
            <v>103253.77822192019</v>
          </cell>
          <cell r="P14">
            <v>102509.33114768284</v>
          </cell>
          <cell r="Q14">
            <v>101325</v>
          </cell>
        </row>
      </sheetData>
      <sheetData sheetId="3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0.45802108266294694</v>
          </cell>
          <cell r="H10">
            <v>0.45802205274429714</v>
          </cell>
          <cell r="I10">
            <v>0.45807673534866261</v>
          </cell>
          <cell r="J10">
            <v>0.45816340495744534</v>
          </cell>
          <cell r="K10">
            <v>0.45827075232910464</v>
          </cell>
          <cell r="L10">
            <v>0.45838593888599438</v>
          </cell>
          <cell r="M10">
            <v>0.45849551753028378</v>
          </cell>
          <cell r="N10">
            <v>0.45858704157640262</v>
          </cell>
          <cell r="O10">
            <v>0.4586514358057997</v>
          </cell>
          <cell r="P10">
            <v>0.45868587055653737</v>
          </cell>
          <cell r="Q10">
            <v>0.4586961256338285</v>
          </cell>
        </row>
        <row r="13">
          <cell r="G13">
            <v>17.96571550535436</v>
          </cell>
          <cell r="H13">
            <v>19.913455981592517</v>
          </cell>
          <cell r="I13">
            <v>22.200110360834749</v>
          </cell>
          <cell r="J13">
            <v>24.908247456591255</v>
          </cell>
          <cell r="K13">
            <v>28.148357627262506</v>
          </cell>
          <cell r="L13">
            <v>32.070331583152644</v>
          </cell>
          <cell r="M13">
            <v>36.882261654019779</v>
          </cell>
          <cell r="N13">
            <v>42.881188334412563</v>
          </cell>
          <cell r="O13">
            <v>50.505937196002144</v>
          </cell>
          <cell r="P13">
            <v>60.433938702113757</v>
          </cell>
          <cell r="Q13">
            <v>73.774964942658258</v>
          </cell>
        </row>
        <row r="14">
          <cell r="G14">
            <v>104795.36960394381</v>
          </cell>
          <cell r="H14">
            <v>104746.20422899675</v>
          </cell>
          <cell r="I14">
            <v>104681.88384740002</v>
          </cell>
          <cell r="J14">
            <v>104596.46592138089</v>
          </cell>
          <cell r="K14">
            <v>104481.0687341094</v>
          </cell>
          <cell r="L14">
            <v>104322.10354246786</v>
          </cell>
          <cell r="M14">
            <v>104098.15855164286</v>
          </cell>
          <cell r="N14">
            <v>103774.30665277598</v>
          </cell>
          <cell r="O14">
            <v>103291.15925986697</v>
          </cell>
          <cell r="P14">
            <v>102542.43258943266</v>
          </cell>
          <cell r="Q14">
            <v>101325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55"/>
  <sheetViews>
    <sheetView zoomScale="60" zoomScaleNormal="60" workbookViewId="0">
      <selection activeCell="B14" sqref="B14:C14"/>
    </sheetView>
  </sheetViews>
  <sheetFormatPr defaultRowHeight="14.4" x14ac:dyDescent="0.3"/>
  <sheetData>
    <row r="1" spans="1:23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  <c r="R3" s="1"/>
      <c r="S3" s="1"/>
      <c r="T3" s="3"/>
      <c r="U3" s="3"/>
      <c r="V3" s="3"/>
      <c r="W3" s="3"/>
    </row>
    <row r="4" spans="1:23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3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3">
      <c r="A6" s="1"/>
      <c r="B6" s="23" t="s">
        <v>7</v>
      </c>
      <c r="C6" s="23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3">
      <c r="A7" s="1"/>
      <c r="B7" s="23" t="s">
        <v>3</v>
      </c>
      <c r="C7" s="23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3">
      <c r="A8" s="1"/>
      <c r="B8" s="23" t="s">
        <v>10</v>
      </c>
      <c r="C8" s="23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3">
      <c r="A10" s="1"/>
      <c r="B10" s="24" t="s">
        <v>11</v>
      </c>
      <c r="C10" s="24">
        <v>216000</v>
      </c>
      <c r="D10" s="1"/>
      <c r="E10" s="1"/>
      <c r="F10" s="2" t="s">
        <v>12</v>
      </c>
      <c r="G10" s="5">
        <f>G4*G7*G13</f>
        <v>2.5223435708228985</v>
      </c>
      <c r="H10" s="5">
        <f t="shared" ref="H10:Q10" si="3">H4*H7*H13</f>
        <v>2.5223496026086849</v>
      </c>
      <c r="I10" s="5">
        <f t="shared" si="3"/>
        <v>2.5226860317881932</v>
      </c>
      <c r="J10" s="5">
        <f t="shared" si="3"/>
        <v>2.5230909301691113</v>
      </c>
      <c r="K10" s="5">
        <f t="shared" si="3"/>
        <v>2.5235254004713945</v>
      </c>
      <c r="L10" s="5">
        <f t="shared" si="3"/>
        <v>2.5239481809982309</v>
      </c>
      <c r="M10" s="5">
        <f t="shared" si="3"/>
        <v>2.5243195059864147</v>
      </c>
      <c r="N10" s="6">
        <f t="shared" si="3"/>
        <v>2.5246069034723604</v>
      </c>
      <c r="O10" s="5">
        <f t="shared" si="3"/>
        <v>2.5247926184498874</v>
      </c>
      <c r="P10" s="5">
        <f t="shared" si="3"/>
        <v>2.5248809916491219</v>
      </c>
      <c r="Q10" s="5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3">
      <c r="A11" s="1"/>
      <c r="B11" s="24" t="s">
        <v>13</v>
      </c>
      <c r="C11" s="24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7">
        <v>0</v>
      </c>
      <c r="R11" s="1"/>
      <c r="S11" s="1"/>
      <c r="T11" s="3"/>
      <c r="U11" s="3"/>
      <c r="V11" s="3"/>
      <c r="W11" s="3"/>
    </row>
    <row r="12" spans="1:23" x14ac:dyDescent="0.3">
      <c r="A12" s="1"/>
      <c r="B12" s="24" t="s">
        <v>8</v>
      </c>
      <c r="C12" s="24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3">
      <c r="A13" s="1"/>
      <c r="B13" s="1"/>
      <c r="C13" s="1"/>
      <c r="D13" s="1"/>
      <c r="E13" s="1"/>
      <c r="F13" s="2" t="s">
        <v>6</v>
      </c>
      <c r="G13" s="7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3">
      <c r="A14" s="1"/>
      <c r="B14" s="25" t="s">
        <v>15</v>
      </c>
      <c r="C14" s="25">
        <v>2000</v>
      </c>
      <c r="D14" s="1">
        <v>43</v>
      </c>
      <c r="E14" s="1"/>
      <c r="F14" s="2" t="s">
        <v>8</v>
      </c>
      <c r="G14" s="7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7">
        <f t="shared" si="6"/>
        <v>101325</v>
      </c>
      <c r="R14" s="1"/>
      <c r="S14" s="1"/>
      <c r="T14" s="3"/>
      <c r="U14" s="3"/>
      <c r="V14" s="3"/>
      <c r="W14" s="3"/>
    </row>
    <row r="15" spans="1:23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8"/>
      <c r="S15" s="1"/>
      <c r="T15" s="3"/>
      <c r="U15" s="3"/>
      <c r="V15" s="3" t="s">
        <v>16</v>
      </c>
      <c r="W15" s="3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3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Расчет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15</xdr:row>
                    <xdr:rowOff>15240</xdr:rowOff>
                  </from>
                  <to>
                    <xdr:col>2</xdr:col>
                    <xdr:colOff>594360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T30"/>
  <sheetViews>
    <sheetView topLeftCell="A4" zoomScale="70" zoomScaleNormal="70" workbookViewId="0">
      <selection activeCell="B6" sqref="B6:C8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44.061773325006357</v>
      </c>
      <c r="H5" s="9">
        <v>48.92314001739534</v>
      </c>
      <c r="I5" s="9">
        <v>54.578157622204209</v>
      </c>
      <c r="J5" s="9">
        <v>61.3676049944319</v>
      </c>
      <c r="K5" s="9">
        <v>69.628313490775255</v>
      </c>
      <c r="L5" s="9">
        <v>79.843213821267071</v>
      </c>
      <c r="M5" s="9">
        <v>92.738828977469382</v>
      </c>
      <c r="N5" s="9">
        <v>109.48812343151208</v>
      </c>
      <c r="O5" s="9">
        <v>132.21037500022013</v>
      </c>
      <c r="P5" s="9">
        <v>165.6106818341492</v>
      </c>
      <c r="Q5" s="9">
        <v>423.94681161813469</v>
      </c>
    </row>
    <row r="6" spans="2:17" x14ac:dyDescent="0.3">
      <c r="B6" s="20" t="s">
        <v>7</v>
      </c>
      <c r="C6" s="20">
        <v>1.4</v>
      </c>
      <c r="F6" s="9" t="s">
        <v>8</v>
      </c>
      <c r="G6" s="9">
        <v>350867.40735553997</v>
      </c>
      <c r="H6" s="9">
        <v>349857.56343376642</v>
      </c>
      <c r="I6" s="9">
        <v>348550.28172794066</v>
      </c>
      <c r="J6" s="9">
        <v>346791.64149142883</v>
      </c>
      <c r="K6" s="9">
        <v>344375.92068949185</v>
      </c>
      <c r="L6" s="9">
        <v>340975.03234884789</v>
      </c>
      <c r="M6" s="9">
        <v>336041.10751108819</v>
      </c>
      <c r="N6" s="9">
        <v>328598.86826103256</v>
      </c>
      <c r="O6" s="9">
        <v>316733.17818914173</v>
      </c>
      <c r="P6" s="9">
        <v>295951.32816207642</v>
      </c>
      <c r="Q6" s="9">
        <v>101325</v>
      </c>
    </row>
    <row r="7" spans="2:17" x14ac:dyDescent="0.3">
      <c r="B7" s="20" t="s">
        <v>3</v>
      </c>
      <c r="C7" s="20">
        <v>286.97199999999998</v>
      </c>
      <c r="F7" s="9" t="s">
        <v>9</v>
      </c>
      <c r="G7" s="9">
        <v>4.2572469963409283</v>
      </c>
      <c r="H7" s="9">
        <v>4.2483227810016162</v>
      </c>
      <c r="I7" s="9">
        <v>4.2367501657323681</v>
      </c>
      <c r="J7" s="9">
        <v>4.2211434646644621</v>
      </c>
      <c r="K7" s="9">
        <v>4.1996416070064333</v>
      </c>
      <c r="L7" s="9">
        <v>4.1692580522743112</v>
      </c>
      <c r="M7" s="9">
        <v>4.124964723733342</v>
      </c>
      <c r="N7" s="9">
        <v>4.0577115891693332</v>
      </c>
      <c r="O7" s="9">
        <v>3.9494508936700159</v>
      </c>
      <c r="P7" s="9">
        <v>3.7568853104570774</v>
      </c>
      <c r="Q7" s="9">
        <v>1.7770717181957589</v>
      </c>
    </row>
    <row r="8" spans="2:17" x14ac:dyDescent="0.3">
      <c r="B8" s="20" t="s">
        <v>10</v>
      </c>
      <c r="C8" s="20">
        <v>1004.4</v>
      </c>
    </row>
    <row r="10" spans="2:17" x14ac:dyDescent="0.3">
      <c r="B10" s="21" t="s">
        <v>11</v>
      </c>
      <c r="C10" s="21">
        <v>355000</v>
      </c>
      <c r="F10" s="9" t="s">
        <v>12</v>
      </c>
      <c r="G10" s="10">
        <f t="shared" ref="G10:Q10" si="3">G4*G7*G13</f>
        <v>3.7714546252394219</v>
      </c>
      <c r="H10" s="10">
        <f t="shared" si="3"/>
        <v>3.7713528467869839</v>
      </c>
      <c r="I10" s="10">
        <f t="shared" si="3"/>
        <v>3.7658286654815862</v>
      </c>
      <c r="J10" s="10">
        <f t="shared" si="3"/>
        <v>3.7630111734824023</v>
      </c>
      <c r="K10" s="10">
        <f t="shared" si="3"/>
        <v>3.7627883031927376</v>
      </c>
      <c r="L10" s="10">
        <f t="shared" si="3"/>
        <v>3.7648969258226872</v>
      </c>
      <c r="M10" s="10">
        <f t="shared" si="3"/>
        <v>3.7688820355463615</v>
      </c>
      <c r="N10" s="10">
        <f t="shared" si="3"/>
        <v>3.7740639491554426</v>
      </c>
      <c r="O10" s="10">
        <f t="shared" si="3"/>
        <v>3.7795316548935967</v>
      </c>
      <c r="P10" s="10">
        <f t="shared" si="3"/>
        <v>3.7841929258987133</v>
      </c>
      <c r="Q10" s="10">
        <f t="shared" si="3"/>
        <v>3.7869207620637364</v>
      </c>
    </row>
    <row r="11" spans="2:17" x14ac:dyDescent="0.3">
      <c r="B11" s="21" t="s">
        <v>13</v>
      </c>
      <c r="C11" s="21">
        <v>288.16000000000003</v>
      </c>
      <c r="F11" s="9" t="s">
        <v>14</v>
      </c>
      <c r="G11" s="12">
        <v>0</v>
      </c>
      <c r="H11" s="12">
        <f>(H13)*(H10-I10)</f>
        <v>0.2702530020993773</v>
      </c>
      <c r="I11" s="12">
        <f t="shared" ref="I11:P11" si="4">(I13)*(I10-J10)</f>
        <v>0.15377138561156797</v>
      </c>
      <c r="J11" s="12">
        <f t="shared" si="4"/>
        <v>1.3676969374340967E-2</v>
      </c>
      <c r="K11" s="12">
        <f t="shared" si="4"/>
        <v>-0.14682046595177198</v>
      </c>
      <c r="L11" s="12">
        <f t="shared" si="4"/>
        <v>-0.31818684807089431</v>
      </c>
      <c r="M11" s="12">
        <f t="shared" si="4"/>
        <v>-0.48056987946180596</v>
      </c>
      <c r="N11" s="12">
        <f t="shared" si="4"/>
        <v>-0.59865505363936122</v>
      </c>
      <c r="O11" s="12">
        <f t="shared" si="4"/>
        <v>-0.61627318987104018</v>
      </c>
      <c r="P11" s="12">
        <f t="shared" si="4"/>
        <v>-0.45176063950558543</v>
      </c>
      <c r="Q11" s="13">
        <v>0</v>
      </c>
    </row>
    <row r="12" spans="2:17" x14ac:dyDescent="0.3">
      <c r="B12" s="21" t="s">
        <v>8</v>
      </c>
      <c r="C12" s="21">
        <v>101325</v>
      </c>
    </row>
    <row r="13" spans="2:17" x14ac:dyDescent="0.3">
      <c r="F13" s="9" t="s">
        <v>6</v>
      </c>
      <c r="G13" s="13">
        <f>(H4*H5*H7)/(G4*G7)</f>
        <v>44.060578259961211</v>
      </c>
      <c r="H13" s="14">
        <f t="shared" ref="H13:Q13" si="5">((G6-H6)/H7+G5*H5)^0.5</f>
        <v>48.921819751881337</v>
      </c>
      <c r="I13" s="14">
        <f t="shared" si="5"/>
        <v>54.577399210399946</v>
      </c>
      <c r="J13" s="14">
        <f t="shared" si="5"/>
        <v>61.367396232651991</v>
      </c>
      <c r="K13" s="14">
        <f t="shared" si="5"/>
        <v>69.62861152414051</v>
      </c>
      <c r="L13" s="14">
        <f t="shared" si="5"/>
        <v>79.843936587403633</v>
      </c>
      <c r="M13" s="14">
        <f t="shared" si="5"/>
        <v>92.739847808273154</v>
      </c>
      <c r="N13" s="14">
        <f t="shared" si="5"/>
        <v>109.48925972038053</v>
      </c>
      <c r="O13" s="14">
        <f t="shared" si="5"/>
        <v>132.21140525718582</v>
      </c>
      <c r="P13" s="14">
        <f t="shared" si="5"/>
        <v>165.61135353293929</v>
      </c>
      <c r="Q13" s="14">
        <f t="shared" si="5"/>
        <v>423.94684483506154</v>
      </c>
    </row>
    <row r="14" spans="2:17" x14ac:dyDescent="0.3">
      <c r="B14" s="22" t="s">
        <v>15</v>
      </c>
      <c r="C14" s="22">
        <v>2000</v>
      </c>
      <c r="D14">
        <v>2000</v>
      </c>
      <c r="F14" s="9" t="s">
        <v>8</v>
      </c>
      <c r="G14" s="15">
        <f>C10-(G7*G13^2)/2</f>
        <v>350867.62964500627</v>
      </c>
      <c r="H14" s="16">
        <f>H6+H11</f>
        <v>349857.83368676854</v>
      </c>
      <c r="I14" s="16">
        <f t="shared" ref="I14:Q14" si="6">I6+I11</f>
        <v>348550.43549932627</v>
      </c>
      <c r="J14" s="16">
        <f t="shared" si="6"/>
        <v>346791.65516839823</v>
      </c>
      <c r="K14" s="16">
        <f t="shared" si="6"/>
        <v>344375.77386902587</v>
      </c>
      <c r="L14" s="16">
        <f t="shared" si="6"/>
        <v>340974.71416199981</v>
      </c>
      <c r="M14" s="16">
        <f t="shared" si="6"/>
        <v>336040.62694120873</v>
      </c>
      <c r="N14" s="16">
        <f t="shared" si="6"/>
        <v>328598.26960597892</v>
      </c>
      <c r="O14" s="16">
        <f t="shared" si="6"/>
        <v>316732.56191595184</v>
      </c>
      <c r="P14" s="16">
        <f t="shared" si="6"/>
        <v>295950.87640143692</v>
      </c>
      <c r="Q14" s="15">
        <f t="shared" si="6"/>
        <v>101325</v>
      </c>
    </row>
    <row r="15" spans="2:17" x14ac:dyDescent="0.3">
      <c r="F15" s="9" t="s">
        <v>9</v>
      </c>
      <c r="G15" s="10">
        <f>G14/($C$7*G17)</f>
        <v>4.2572489163555369</v>
      </c>
      <c r="H15" s="10">
        <f t="shared" ref="H15:Q15" si="7">H14/($C$7*H17)</f>
        <v>4.2483251106646245</v>
      </c>
      <c r="I15" s="10">
        <f t="shared" si="7"/>
        <v>4.2367514258254602</v>
      </c>
      <c r="J15" s="10">
        <f t="shared" si="7"/>
        <v>4.2211434430728181</v>
      </c>
      <c r="K15" s="10">
        <f t="shared" si="7"/>
        <v>4.1996401201924733</v>
      </c>
      <c r="L15" s="10">
        <f t="shared" si="7"/>
        <v>4.1692550022111172</v>
      </c>
      <c r="M15" s="10">
        <f t="shared" si="7"/>
        <v>4.1249601915827077</v>
      </c>
      <c r="N15" s="10">
        <f t="shared" si="7"/>
        <v>4.0577059777546882</v>
      </c>
      <c r="O15" s="10">
        <f t="shared" si="7"/>
        <v>3.9494451257262524</v>
      </c>
      <c r="P15" s="10">
        <f t="shared" si="7"/>
        <v>3.7568810914511093</v>
      </c>
      <c r="Q15" s="10">
        <f t="shared" si="7"/>
        <v>1.7770718435956014</v>
      </c>
    </row>
    <row r="17" spans="6:20" x14ac:dyDescent="0.3">
      <c r="F17" s="9" t="s">
        <v>17</v>
      </c>
      <c r="G17" s="14">
        <f>$C$11-(G13^2)/(2*$C$8)</f>
        <v>287.19358494792806</v>
      </c>
      <c r="H17" s="14">
        <f t="shared" ref="H17:Q17" si="8">$C$11-(H13^2)/(2*$C$8)</f>
        <v>286.96857006778401</v>
      </c>
      <c r="I17" s="14">
        <f t="shared" si="8"/>
        <v>286.67717816379366</v>
      </c>
      <c r="J17" s="14">
        <f t="shared" si="8"/>
        <v>286.2852701511473</v>
      </c>
      <c r="K17" s="14">
        <f t="shared" si="8"/>
        <v>285.74654741996238</v>
      </c>
      <c r="L17" s="14">
        <f t="shared" si="8"/>
        <v>284.98643657418694</v>
      </c>
      <c r="M17" s="14">
        <f t="shared" si="8"/>
        <v>283.87849891900555</v>
      </c>
      <c r="N17" s="14">
        <f t="shared" si="8"/>
        <v>282.19230884402782</v>
      </c>
      <c r="O17" s="14">
        <f t="shared" si="8"/>
        <v>279.45835937869384</v>
      </c>
      <c r="P17" s="14">
        <f t="shared" si="8"/>
        <v>274.50651512394853</v>
      </c>
      <c r="Q17" s="14">
        <f t="shared" si="8"/>
        <v>198.68821224332748</v>
      </c>
    </row>
    <row r="18" spans="6:20" x14ac:dyDescent="0.3">
      <c r="F18" s="9" t="s">
        <v>18</v>
      </c>
      <c r="G18" s="17">
        <f>SQRT($C$6*$C$7*G17)</f>
        <v>339.68091563045976</v>
      </c>
      <c r="H18" s="17">
        <f t="shared" ref="H18:Q18" si="9">SQRT($C$6*$C$7*H17)</f>
        <v>339.54782032180526</v>
      </c>
      <c r="I18" s="17">
        <f t="shared" si="9"/>
        <v>339.37538573212447</v>
      </c>
      <c r="J18" s="17">
        <f t="shared" si="9"/>
        <v>339.14333129834802</v>
      </c>
      <c r="K18" s="17">
        <f t="shared" si="9"/>
        <v>338.82408634670884</v>
      </c>
      <c r="L18" s="17">
        <f t="shared" si="9"/>
        <v>338.37313538044742</v>
      </c>
      <c r="M18" s="17">
        <f t="shared" si="9"/>
        <v>337.71475068243433</v>
      </c>
      <c r="N18" s="17">
        <f t="shared" si="9"/>
        <v>336.71027271977266</v>
      </c>
      <c r="O18" s="17">
        <f t="shared" si="9"/>
        <v>335.0752363733726</v>
      </c>
      <c r="P18" s="17">
        <f t="shared" si="9"/>
        <v>332.09329580918921</v>
      </c>
      <c r="Q18" s="17">
        <f t="shared" si="9"/>
        <v>282.53342298115638</v>
      </c>
    </row>
    <row r="19" spans="6:20" x14ac:dyDescent="0.3">
      <c r="F19" s="9" t="s">
        <v>19</v>
      </c>
      <c r="G19" s="12">
        <f>G13/G18</f>
        <v>0.12971166831137165</v>
      </c>
      <c r="H19" s="12">
        <f t="shared" ref="H19:Q19" si="10">H13/H18</f>
        <v>0.14407932203928112</v>
      </c>
      <c r="I19" s="12">
        <f t="shared" si="10"/>
        <v>0.16081719978796263</v>
      </c>
      <c r="J19" s="12">
        <f t="shared" si="10"/>
        <v>0.18094826160289862</v>
      </c>
      <c r="K19" s="12">
        <f t="shared" si="10"/>
        <v>0.20550077261299415</v>
      </c>
      <c r="L19" s="12">
        <f t="shared" si="10"/>
        <v>0.23596417161673214</v>
      </c>
      <c r="M19" s="12">
        <f t="shared" si="10"/>
        <v>0.27461000036530792</v>
      </c>
      <c r="N19" s="12">
        <f t="shared" si="10"/>
        <v>0.32517350550662599</v>
      </c>
      <c r="O19" s="12">
        <f t="shared" si="10"/>
        <v>0.39457229572722985</v>
      </c>
      <c r="P19" s="12">
        <f t="shared" si="10"/>
        <v>0.4986892407129308</v>
      </c>
      <c r="Q19" s="12">
        <f t="shared" si="10"/>
        <v>1.5005192672844825</v>
      </c>
    </row>
    <row r="20" spans="6:20" x14ac:dyDescent="0.3">
      <c r="F20" s="9" t="s">
        <v>20</v>
      </c>
      <c r="G20" s="9">
        <f>1-((($C$6-1)/($C$6+1))*G21^2)</f>
        <v>0.99674452414442138</v>
      </c>
      <c r="H20" s="9">
        <f t="shared" ref="H20:Q20" si="11">1-((($C$6-1)/($C$6+1))*H21^2)</f>
        <v>0.9960137305399861</v>
      </c>
      <c r="I20" s="9">
        <f t="shared" si="11"/>
        <v>0.99508194862891708</v>
      </c>
      <c r="J20" s="9">
        <f t="shared" si="11"/>
        <v>0.99385401252850569</v>
      </c>
      <c r="K20" s="9">
        <f t="shared" si="11"/>
        <v>0.99221169552727795</v>
      </c>
      <c r="L20" s="9">
        <f t="shared" si="11"/>
        <v>0.98997999182261187</v>
      </c>
      <c r="M20" s="9">
        <f t="shared" si="11"/>
        <v>0.98689446363234257</v>
      </c>
      <c r="N20" s="9">
        <f t="shared" si="11"/>
        <v>0.98254396420898971</v>
      </c>
      <c r="O20" s="9">
        <f t="shared" si="11"/>
        <v>0.97625586199803871</v>
      </c>
      <c r="P20" s="9">
        <f t="shared" si="11"/>
        <v>0.96678322933129879</v>
      </c>
      <c r="Q20" s="9">
        <f t="shared" si="11"/>
        <v>0.91817152271581493</v>
      </c>
    </row>
    <row r="21" spans="6:20" x14ac:dyDescent="0.3">
      <c r="F21" s="9" t="s">
        <v>21</v>
      </c>
      <c r="G21" s="9">
        <f>SQRT(((($C$6+1)/2)*G19^2)/(1+2*G19^2))</f>
        <v>0.13975999117584367</v>
      </c>
      <c r="H21" s="9">
        <f>SQRT(((($C$6+1)/2)*H19^2)/(1+2*H19^2))</f>
        <v>0.15465321451584327</v>
      </c>
      <c r="I21" s="9">
        <f t="shared" ref="I21:Q21" si="12">SQRT(((($C$6+1)/2)*I19^2)/(1+2*I19^2))</f>
        <v>0.17177982485291377</v>
      </c>
      <c r="J21" s="9">
        <f t="shared" si="12"/>
        <v>0.19203105173113452</v>
      </c>
      <c r="K21" s="9">
        <f t="shared" si="12"/>
        <v>0.21617082790314809</v>
      </c>
      <c r="L21" s="9">
        <f t="shared" si="12"/>
        <v>0.24519390095255025</v>
      </c>
      <c r="M21" s="9">
        <f t="shared" si="12"/>
        <v>0.28041615182785834</v>
      </c>
      <c r="N21" s="9">
        <f t="shared" si="12"/>
        <v>0.32362974947625239</v>
      </c>
      <c r="O21" s="9">
        <f t="shared" si="12"/>
        <v>0.37744513245207906</v>
      </c>
      <c r="P21" s="9">
        <f t="shared" si="12"/>
        <v>0.44643098460143565</v>
      </c>
      <c r="Q21" s="9">
        <f t="shared" si="12"/>
        <v>0.70069313091046537</v>
      </c>
    </row>
    <row r="22" spans="6:20" x14ac:dyDescent="0.3">
      <c r="F22" s="9" t="s">
        <v>22</v>
      </c>
      <c r="G22" s="9">
        <f>(1-((($C$6-1)/($C$6+1))*G21^2))^($C$6/($C$6-1))</f>
        <v>0.98865212585154483</v>
      </c>
      <c r="H22" s="9">
        <f t="shared" ref="H22:Q22" si="13">(1-((($C$6-1)/($C$6+1))*H21^2))^($C$6/($C$6-1))</f>
        <v>0.98611743865169554</v>
      </c>
      <c r="I22" s="9">
        <f t="shared" si="13"/>
        <v>0.98289237927743911</v>
      </c>
      <c r="J22" s="9">
        <f t="shared" si="13"/>
        <v>0.97865379398838326</v>
      </c>
      <c r="K22" s="9">
        <f t="shared" si="13"/>
        <v>0.97300527931111802</v>
      </c>
      <c r="L22" s="9">
        <f t="shared" si="13"/>
        <v>0.96536702594853241</v>
      </c>
      <c r="M22" s="9">
        <f t="shared" si="13"/>
        <v>0.95487713534369834</v>
      </c>
      <c r="N22" s="9">
        <f t="shared" si="13"/>
        <v>0.94022538485456131</v>
      </c>
      <c r="O22" s="9">
        <f t="shared" si="13"/>
        <v>0.91933287638910044</v>
      </c>
      <c r="P22" s="9">
        <f t="shared" si="13"/>
        <v>0.88848863821322899</v>
      </c>
      <c r="Q22" s="9">
        <f t="shared" si="13"/>
        <v>0.74170868802605194</v>
      </c>
    </row>
    <row r="23" spans="6:20" x14ac:dyDescent="0.3">
      <c r="F23" s="9" t="s">
        <v>11</v>
      </c>
      <c r="G23" s="9">
        <f>G14/G22</f>
        <v>354894.93267694872</v>
      </c>
      <c r="H23" s="9">
        <f t="shared" ref="H23:Q23" si="14">H14/H22</f>
        <v>354783.13228607358</v>
      </c>
      <c r="I23" s="9">
        <f t="shared" si="14"/>
        <v>354617.09017986152</v>
      </c>
      <c r="J23" s="9">
        <f t="shared" si="14"/>
        <v>354355.80723096314</v>
      </c>
      <c r="K23" s="9">
        <f t="shared" si="14"/>
        <v>353930.01578865212</v>
      </c>
      <c r="L23" s="9">
        <f t="shared" si="14"/>
        <v>353207.33461656328</v>
      </c>
      <c r="M23" s="9">
        <f t="shared" si="14"/>
        <v>351920.27801592957</v>
      </c>
      <c r="N23" s="9">
        <f t="shared" si="14"/>
        <v>349488.82991157286</v>
      </c>
      <c r="O23" s="9">
        <f t="shared" si="14"/>
        <v>344524.35026580869</v>
      </c>
      <c r="P23" s="9">
        <f t="shared" si="14"/>
        <v>333094.72251282912</v>
      </c>
      <c r="Q23" s="9">
        <f t="shared" si="14"/>
        <v>136610.23746352698</v>
      </c>
    </row>
    <row r="26" spans="6:20" x14ac:dyDescent="0.3">
      <c r="S26" s="19"/>
      <c r="T26" s="19"/>
    </row>
    <row r="27" spans="6:20" x14ac:dyDescent="0.3">
      <c r="S27" s="19"/>
      <c r="T27" s="19"/>
    </row>
    <row r="30" spans="6:20" x14ac:dyDescent="0.3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">
                <anchor moveWithCells="1" sizeWithCells="1">
                  <from>
                    <xdr:col>1</xdr:col>
                    <xdr:colOff>7620</xdr:colOff>
                    <xdr:row>15</xdr:row>
                    <xdr:rowOff>30480</xdr:rowOff>
                  </from>
                  <to>
                    <xdr:col>3</xdr:col>
                    <xdr:colOff>601980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Q19"/>
  <sheetViews>
    <sheetView zoomScale="70" zoomScaleNormal="70" workbookViewId="0">
      <selection activeCell="H29" sqref="H29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3">
      <c r="B6" s="20" t="s">
        <v>7</v>
      </c>
      <c r="C6" s="20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3">
      <c r="B7" s="20" t="s">
        <v>3</v>
      </c>
      <c r="C7" s="20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3">
      <c r="B8" s="20" t="s">
        <v>10</v>
      </c>
      <c r="C8" s="20">
        <v>1004.4</v>
      </c>
    </row>
    <row r="10" spans="2:17" x14ac:dyDescent="0.3">
      <c r="B10" s="21" t="s">
        <v>11</v>
      </c>
      <c r="C10" s="21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3">
      <c r="B11" s="21" t="s">
        <v>13</v>
      </c>
      <c r="C11" s="21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3">
      <c r="B12" s="21" t="s">
        <v>8</v>
      </c>
      <c r="C12" s="21">
        <v>101325</v>
      </c>
    </row>
    <row r="13" spans="2:17" x14ac:dyDescent="0.3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3">
      <c r="B14" s="22" t="s">
        <v>15</v>
      </c>
      <c r="C14" s="22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3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17" x14ac:dyDescent="0.3">
      <c r="F17" s="9" t="s">
        <v>17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17" x14ac:dyDescent="0.3">
      <c r="F18" s="9" t="s">
        <v>18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17" x14ac:dyDescent="0.3">
      <c r="F19" s="9" t="s">
        <v>19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586740</xdr:colOff>
                    <xdr:row>15</xdr:row>
                    <xdr:rowOff>22860</xdr:rowOff>
                  </from>
                  <to>
                    <xdr:col>4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Q23"/>
  <sheetViews>
    <sheetView tabSelected="1" topLeftCell="B1" zoomScale="60" zoomScaleNormal="60" workbookViewId="0">
      <selection activeCell="E8" sqref="E8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3">
      <c r="B6" s="20" t="s">
        <v>7</v>
      </c>
      <c r="C6" s="20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3">
      <c r="B7" s="20" t="s">
        <v>3</v>
      </c>
      <c r="C7" s="20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3">
      <c r="B8" s="20" t="s">
        <v>10</v>
      </c>
      <c r="C8" s="20">
        <v>1004.4</v>
      </c>
    </row>
    <row r="10" spans="2:17" x14ac:dyDescent="0.3">
      <c r="B10" s="21" t="s">
        <v>11</v>
      </c>
      <c r="C10" s="21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3">
      <c r="B11" s="21" t="s">
        <v>13</v>
      </c>
      <c r="C11" s="21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3">
      <c r="B12" s="21" t="s">
        <v>8</v>
      </c>
      <c r="C12" s="21">
        <v>101325</v>
      </c>
    </row>
    <row r="13" spans="2:17" x14ac:dyDescent="0.3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3">
      <c r="B14" s="22" t="s">
        <v>15</v>
      </c>
      <c r="C14" s="22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3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17" x14ac:dyDescent="0.3">
      <c r="F17" s="9" t="s">
        <v>17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17" x14ac:dyDescent="0.3">
      <c r="F18" s="9" t="s">
        <v>18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17" x14ac:dyDescent="0.3">
      <c r="F19" s="9" t="s">
        <v>19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17" x14ac:dyDescent="0.3">
      <c r="F20" s="9" t="s">
        <v>20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17" x14ac:dyDescent="0.3">
      <c r="F21" s="9" t="s">
        <v>21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17" x14ac:dyDescent="0.3">
      <c r="F22" s="9" t="s">
        <v>22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17" x14ac:dyDescent="0.3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594360</xdr:colOff>
                    <xdr:row>15</xdr:row>
                    <xdr:rowOff>167640</xdr:rowOff>
                  </from>
                  <to>
                    <xdr:col>4</xdr:col>
                    <xdr:colOff>15240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Const_p216</vt:lpstr>
      <vt:lpstr>Var_p355</vt:lpstr>
      <vt:lpstr>Const_p105</vt:lpstr>
      <vt:lpstr>Var_p105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Бобкова Дарья</dc:creator>
  <cp:lastModifiedBy>Пользователь Windows</cp:lastModifiedBy>
  <dcterms:created xsi:type="dcterms:W3CDTF">2021-05-22T19:32:51Z</dcterms:created>
  <dcterms:modified xsi:type="dcterms:W3CDTF">2021-05-23T13:33:35Z</dcterms:modified>
</cp:coreProperties>
</file>