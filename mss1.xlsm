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120" yWindow="105" windowWidth="15120" windowHeight="8010" activeTab="1"/>
  </bookViews>
  <sheets>
    <sheet name="Лист1" sheetId="1" r:id="rId1"/>
    <sheet name="Лист2" sheetId="2" r:id="rId2"/>
  </sheets>
  <calcPr calcId="145621"/>
</workbook>
</file>

<file path=xl/calcChain.xml><?xml version="1.0" encoding="utf-8"?>
<calcChain xmlns="http://schemas.openxmlformats.org/spreadsheetml/2006/main">
  <c r="Z17" i="2" l="1"/>
  <c r="AD17" i="2"/>
  <c r="AH17" i="2"/>
  <c r="Y18" i="2"/>
  <c r="F18" i="2"/>
  <c r="F14" i="2" s="1"/>
  <c r="G17" i="2" s="1"/>
  <c r="G13" i="2"/>
  <c r="H13" i="2" s="1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AJ13" i="2" s="1"/>
  <c r="C4" i="2"/>
  <c r="B18" i="2" s="1"/>
  <c r="J17" i="1"/>
  <c r="N17" i="1"/>
  <c r="Q17" i="1"/>
  <c r="R17" i="1"/>
  <c r="U17" i="1"/>
  <c r="V17" i="1"/>
  <c r="Y17" i="1"/>
  <c r="Z17" i="1"/>
  <c r="AA17" i="1"/>
  <c r="AC17" i="1"/>
  <c r="AD17" i="1"/>
  <c r="AE17" i="1"/>
  <c r="AG17" i="1"/>
  <c r="AH17" i="1"/>
  <c r="C4" i="1"/>
  <c r="G17" i="1" s="1"/>
  <c r="B18" i="1"/>
  <c r="AJ14" i="1"/>
  <c r="AI17" i="1" s="1"/>
  <c r="G13" i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V17" i="2" l="1"/>
  <c r="R17" i="2"/>
  <c r="N17" i="2"/>
  <c r="J17" i="2"/>
  <c r="M17" i="1"/>
  <c r="I17" i="1"/>
  <c r="U18" i="2"/>
  <c r="AG17" i="2"/>
  <c r="AC17" i="2"/>
  <c r="Y17" i="2"/>
  <c r="U17" i="2"/>
  <c r="Q17" i="2"/>
  <c r="M17" i="2"/>
  <c r="I17" i="2"/>
  <c r="AF17" i="1"/>
  <c r="AB17" i="1"/>
  <c r="X17" i="1"/>
  <c r="T17" i="1"/>
  <c r="P17" i="1"/>
  <c r="L17" i="1"/>
  <c r="H17" i="1"/>
  <c r="AG18" i="2"/>
  <c r="Q18" i="2"/>
  <c r="AF17" i="2"/>
  <c r="AB17" i="2"/>
  <c r="X17" i="2"/>
  <c r="T17" i="2"/>
  <c r="P17" i="2"/>
  <c r="L17" i="2"/>
  <c r="H17" i="2"/>
  <c r="W17" i="1"/>
  <c r="S17" i="1"/>
  <c r="O17" i="1"/>
  <c r="K17" i="1"/>
  <c r="AC18" i="2"/>
  <c r="M18" i="2"/>
  <c r="AE17" i="2"/>
  <c r="AA17" i="2"/>
  <c r="W17" i="2"/>
  <c r="S17" i="2"/>
  <c r="O17" i="2"/>
  <c r="K17" i="2"/>
  <c r="AI17" i="2"/>
  <c r="G18" i="2"/>
  <c r="AF18" i="2"/>
  <c r="AB18" i="2"/>
  <c r="X18" i="2"/>
  <c r="T18" i="2"/>
  <c r="P18" i="2"/>
  <c r="L18" i="2"/>
  <c r="H18" i="2"/>
  <c r="I18" i="2"/>
  <c r="AH18" i="2"/>
  <c r="AD18" i="2"/>
  <c r="Z18" i="2"/>
  <c r="V18" i="2"/>
  <c r="R18" i="2"/>
  <c r="N18" i="2"/>
  <c r="J18" i="2"/>
  <c r="AI18" i="2"/>
  <c r="AE18" i="2"/>
  <c r="AA18" i="2"/>
  <c r="W18" i="2"/>
  <c r="S18" i="2"/>
  <c r="O18" i="2"/>
  <c r="K18" i="2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<sst xmlns="http://schemas.openxmlformats.org/spreadsheetml/2006/main" count="25" uniqueCount="13">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</sst>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0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4"/>
    </mc:Choice>
    <mc:Fallback>
      <c:style val="1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Лист1!$E$13</c:f>
              <c:strCache>
                <c:ptCount val="1"/>
                <c:pt idx="0">
                  <c:v>L</c:v>
                </c:pt>
              </c:strCache>
            </c:strRef>
          </c:tx>
          <c:marker>
            <c:symbol val="none"/>
          </c:marker>
          <c: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marker>
            <c:symbol val="none"/>
          </c:marker>
          <c: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23072"/>
        <c:axId val="61525376"/>
      </c:lineChart>
      <c:catAx>
        <c:axId val="6152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61525376"/>
        <c:crosses val="autoZero"/>
        <c:auto val="1"/>
        <c:lblAlgn val="ctr"/>
        <c:lblOffset val="100"/>
        <c:noMultiLvlLbl val="0"/>
      </c:catAx>
      <c:valAx>
        <c:axId val="6152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523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35968"/>
        <c:axId val="77637504"/>
      </c:scatterChart>
      <c:valAx>
        <c:axId val="77635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7637504"/>
        <c:crosses val="autoZero"/>
        <c:crossBetween val="midCat"/>
      </c:valAx>
      <c:valAx>
        <c:axId val="7763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6359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571062992125984"/>
          <c:y val="0.18115420948965752"/>
          <c:w val="0.74167125984251991"/>
          <c:h val="0.688805039619327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Лист2!$E$14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Лист2!$F$13:$AJ$13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General">
                  <c:v>12.989999999999997</c:v>
                </c:pt>
              </c:numCache>
            </c:numRef>
          </c:xVal>
          <c:yVal>
            <c:numRef>
              <c:f>Лист2!$F$14:$AJ$14</c:f>
              <c:numCache>
                <c:formatCode>General</c:formatCode>
                <c:ptCount val="31"/>
                <c:pt idx="0">
                  <c:v>299.99997763459675</c:v>
                </c:pt>
                <c:pt idx="1">
                  <c:v>293.33331096793006</c:v>
                </c:pt>
                <c:pt idx="2">
                  <c:v>286.66664436466061</c:v>
                </c:pt>
                <c:pt idx="3">
                  <c:v>279.99997782460849</c:v>
                </c:pt>
                <c:pt idx="4">
                  <c:v>273.33331134741508</c:v>
                </c:pt>
                <c:pt idx="5">
                  <c:v>266.66664493254297</c:v>
                </c:pt>
                <c:pt idx="6">
                  <c:v>259.99997857927877</c:v>
                </c:pt>
                <c:pt idx="7">
                  <c:v>253.33331228673376</c:v>
                </c:pt>
                <c:pt idx="8">
                  <c:v>246.66664605384776</c:v>
                </c:pt>
                <c:pt idx="9">
                  <c:v>239.99997987939091</c:v>
                </c:pt>
                <c:pt idx="10">
                  <c:v>233.33331376196827</c:v>
                </c:pt>
                <c:pt idx="11">
                  <c:v>226.66664770002262</c:v>
                </c:pt>
                <c:pt idx="12">
                  <c:v>219.99998169184016</c:v>
                </c:pt>
                <c:pt idx="13">
                  <c:v>213.33331573555401</c:v>
                </c:pt>
                <c:pt idx="14">
                  <c:v>206.66664982915083</c:v>
                </c:pt>
                <c:pt idx="15">
                  <c:v>199.99998397047526</c:v>
                </c:pt>
                <c:pt idx="16">
                  <c:v>193.33331815723727</c:v>
                </c:pt>
                <c:pt idx="17">
                  <c:v>186.66665238701742</c:v>
                </c:pt>
                <c:pt idx="18">
                  <c:v>179.99998665727495</c:v>
                </c:pt>
                <c:pt idx="19">
                  <c:v>173.33332096535372</c:v>
                </c:pt>
                <c:pt idx="20">
                  <c:v>166.66665530849104</c:v>
                </c:pt>
                <c:pt idx="21">
                  <c:v>159.9999896838242</c:v>
                </c:pt>
                <c:pt idx="22">
                  <c:v>153.33332408839982</c:v>
                </c:pt>
                <c:pt idx="23">
                  <c:v>146.66665851918108</c:v>
                </c:pt>
                <c:pt idx="24">
                  <c:v>139.99999297305737</c:v>
                </c:pt>
                <c:pt idx="25">
                  <c:v>133.33332744685219</c:v>
                </c:pt>
                <c:pt idx="26">
                  <c:v>126.666661937333</c:v>
                </c:pt>
                <c:pt idx="27">
                  <c:v>119.99999644121954</c:v>
                </c:pt>
                <c:pt idx="28">
                  <c:v>113.33333095519386</c:v>
                </c:pt>
                <c:pt idx="29">
                  <c:v>106.66666547590927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34208"/>
        <c:axId val="96752384"/>
      </c:scatterChart>
      <c:valAx>
        <c:axId val="9673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52384"/>
        <c:crosses val="autoZero"/>
        <c:crossBetween val="midCat"/>
      </c:valAx>
      <c:valAx>
        <c:axId val="967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734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15874</xdr:colOff>
      <xdr:row>18</xdr:row>
      <xdr:rowOff>154782</xdr:rowOff>
    </xdr:from>
    <xdr:to>
      <xdr:col>9</xdr:col>
      <xdr:colOff>325437</xdr:colOff>
      <xdr:row>33</xdr:row>
      <xdr:rowOff>162719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19844</xdr:colOff>
      <xdr:row>19</xdr:row>
      <xdr:rowOff>11906</xdr:rowOff>
    </xdr:from>
    <xdr:to>
      <xdr:col>23</xdr:col>
      <xdr:colOff>198437</xdr:colOff>
      <xdr:row>34</xdr:row>
      <xdr:rowOff>19843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548821</xdr:colOff>
      <xdr:row>19</xdr:row>
      <xdr:rowOff>154215</xdr:rowOff>
    </xdr:from>
    <xdr:to>
      <xdr:col>11</xdr:col>
      <xdr:colOff>226785</xdr:colOff>
      <xdr:row>34</xdr:row>
      <xdr:rowOff>172358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8"/>
  <sheetViews>
    <sheetView topLeftCell="A7" zoomScale="80" zoomScaleNormal="80" workbookViewId="0">
      <selection activeCell="L23" sqref="L23"/>
    </sheetView>
  </sheetViews>
  <sheetFormatPr defaultRowHeight="15" x14ac:dyDescent="0.25"/>
  <cols>
    <col min="6" max="6" width="6.85546875" bestFit="1" customWidth="1"/>
    <col min="7" max="7" width="7" customWidth="1"/>
    <col min="8" max="15" width="5.85546875" bestFit="1" customWidth="1"/>
    <col min="16" max="16" width="4.85546875" bestFit="1" customWidth="1"/>
    <col min="17" max="25" width="5.85546875" bestFit="1" customWidth="1"/>
    <col min="26" max="26" width="4.85546875" bestFit="1" customWidth="1"/>
    <col min="27" max="35" width="5.85546875" bestFit="1" customWidth="1"/>
    <col min="36" max="36" width="4.8554687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v>0.433</v>
      </c>
    </row>
    <row r="6" spans="2:36" x14ac:dyDescent="0.25">
      <c r="B6" s="1" t="s">
        <v>3</v>
      </c>
      <c r="C6" s="1">
        <v>60</v>
      </c>
      <c r="D6">
        <v>60.186999999999998</v>
      </c>
    </row>
    <row r="7" spans="2:36" x14ac:dyDescent="0.25">
      <c r="B7" s="1"/>
      <c r="C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1"/>
      <c r="C11" s="1"/>
    </row>
    <row r="12" spans="2:36" x14ac:dyDescent="0.25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25">
      <c r="B13" s="1" t="s">
        <v>8</v>
      </c>
      <c r="C13" s="1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</row>
    <row r="14" spans="2:36" x14ac:dyDescent="0.25">
      <c r="B14" s="1" t="s">
        <v>9</v>
      </c>
      <c r="C14" s="1">
        <v>100</v>
      </c>
      <c r="E14" s="1" t="s">
        <v>7</v>
      </c>
      <c r="F14" s="1">
        <v>300</v>
      </c>
      <c r="G14" s="1">
        <v>280.3451356906275</v>
      </c>
      <c r="H14" s="1">
        <v>260.98550140677543</v>
      </c>
      <c r="I14" s="1">
        <v>241.68925448971564</v>
      </c>
      <c r="J14" s="1">
        <v>223.25830143373341</v>
      </c>
      <c r="K14" s="1">
        <v>204.94974418109416</v>
      </c>
      <c r="L14" s="1">
        <v>188.01783618323876</v>
      </c>
      <c r="M14" s="1">
        <v>171.25910700372717</v>
      </c>
      <c r="N14" s="1">
        <v>156.29830625258549</v>
      </c>
      <c r="O14" s="1">
        <v>141.55035379302507</v>
      </c>
      <c r="P14" s="1">
        <v>128.91021776688675</v>
      </c>
      <c r="Q14" s="1">
        <v>116.50979760314505</v>
      </c>
      <c r="R14" s="1">
        <v>106.40567709089358</v>
      </c>
      <c r="S14" s="1">
        <v>96.55487619169071</v>
      </c>
      <c r="T14" s="1">
        <v>89.068092766976434</v>
      </c>
      <c r="U14" s="1">
        <v>81.835567611964265</v>
      </c>
      <c r="V14" s="1">
        <v>76.923159498966456</v>
      </c>
      <c r="W14" s="1">
        <v>72.25464791067192</v>
      </c>
      <c r="X14" s="1">
        <v>69.765430738472972</v>
      </c>
      <c r="Y14" s="1">
        <v>67.50023812873907</v>
      </c>
      <c r="Z14" s="1">
        <v>67.193816703717232</v>
      </c>
      <c r="AA14" s="1">
        <v>67.083944762128951</v>
      </c>
      <c r="AB14" s="1">
        <v>68.649886812201174</v>
      </c>
      <c r="AC14" s="1">
        <v>70.379100206678658</v>
      </c>
      <c r="AD14" s="1">
        <v>73.454444848712399</v>
      </c>
      <c r="AE14" s="1">
        <v>76.655552354286499</v>
      </c>
      <c r="AF14" s="1">
        <v>80.839843367225896</v>
      </c>
      <c r="AG14" s="1">
        <v>85.109475973702843</v>
      </c>
      <c r="AH14" s="1">
        <v>89.977328318826025</v>
      </c>
      <c r="AI14" s="1">
        <v>94.888286134147862</v>
      </c>
      <c r="AJ14" s="1">
        <f>C14</f>
        <v>100</v>
      </c>
    </row>
    <row r="17" spans="2:36" x14ac:dyDescent="0.25">
      <c r="E17" s="1" t="s">
        <v>10</v>
      </c>
      <c r="F17" s="1"/>
      <c r="G17" s="4">
        <f>G14+(($C$10*$C$5)/($C$9*$C$8))*((H14-2*G14+F14)/($C$4^2))</f>
        <v>280.49263715337787</v>
      </c>
      <c r="H17" s="4">
        <f t="shared" ref="H17:AI17" si="1">H14+(($C$10*$C$5)/($C$9*$C$8))*((I14-2*H14+G14)/($C$4^2))</f>
        <v>261.01717071041509</v>
      </c>
      <c r="I17" s="4">
        <f t="shared" si="1"/>
        <v>242.12156861492321</v>
      </c>
      <c r="J17" s="4">
        <f t="shared" si="1"/>
        <v>223.31945226009591</v>
      </c>
      <c r="K17" s="4">
        <f t="shared" si="1"/>
        <v>205.63753932800347</v>
      </c>
      <c r="L17" s="4">
        <f t="shared" si="1"/>
        <v>188.10435898517284</v>
      </c>
      <c r="M17" s="4">
        <f t="shared" si="1"/>
        <v>172.15737970697813</v>
      </c>
      <c r="N17" s="4">
        <f t="shared" si="1"/>
        <v>156.40464853364858</v>
      </c>
      <c r="O17" s="4">
        <f t="shared" si="1"/>
        <v>142.60345131110788</v>
      </c>
      <c r="P17" s="4">
        <f t="shared" si="1"/>
        <v>129.02998349967643</v>
      </c>
      <c r="Q17" s="4">
        <f t="shared" si="1"/>
        <v>117.65706423671651</v>
      </c>
      <c r="R17" s="4">
        <f t="shared" si="1"/>
        <v>106.53223946679748</v>
      </c>
      <c r="S17" s="4">
        <f t="shared" si="1"/>
        <v>97.735975691444821</v>
      </c>
      <c r="T17" s="4">
        <f t="shared" si="1"/>
        <v>89.19512411018529</v>
      </c>
      <c r="U17" s="4">
        <f t="shared" si="1"/>
        <v>82.994733780262976</v>
      </c>
      <c r="V17" s="4">
        <f t="shared" si="1"/>
        <v>77.045013954962442</v>
      </c>
      <c r="W17" s="4">
        <f t="shared" si="1"/>
        <v>73.343456928559675</v>
      </c>
      <c r="X17" s="4">
        <f t="shared" si="1"/>
        <v>69.877356856412234</v>
      </c>
      <c r="Y17" s="4">
        <f t="shared" si="1"/>
        <v>68.47887034756252</v>
      </c>
      <c r="Z17" s="4">
        <f t="shared" si="1"/>
        <v>67.292015849478844</v>
      </c>
      <c r="AA17" s="4">
        <f t="shared" si="1"/>
        <v>67.921207214116251</v>
      </c>
      <c r="AB17" s="4">
        <f t="shared" si="1"/>
        <v>68.73145968773288</v>
      </c>
      <c r="AC17" s="4">
        <f t="shared" si="1"/>
        <v>71.051648087669264</v>
      </c>
      <c r="AD17" s="4">
        <f t="shared" si="1"/>
        <v>73.51727791015044</v>
      </c>
      <c r="AE17" s="4">
        <f t="shared" si="1"/>
        <v>77.146765960466311</v>
      </c>
      <c r="AF17" s="4">
        <f t="shared" si="1"/>
        <v>80.882481340304849</v>
      </c>
      <c r="AG17" s="4">
        <f t="shared" si="1"/>
        <v>85.408355758511092</v>
      </c>
      <c r="AH17" s="4">
        <f t="shared" si="1"/>
        <v>89.998864474898355</v>
      </c>
      <c r="AI17" s="4">
        <f t="shared" si="1"/>
        <v>94.988586945547425</v>
      </c>
      <c r="AJ17" s="1"/>
    </row>
    <row r="18" spans="2:36" x14ac:dyDescent="0.25">
      <c r="B18">
        <f>(C9*C8*C4^2)/(2*C10)</f>
        <v>0.4333333333333334</v>
      </c>
    </row>
  </sheetData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18"/>
  <sheetViews>
    <sheetView tabSelected="1" zoomScale="70" zoomScaleNormal="70" workbookViewId="0">
      <selection activeCell="O26" sqref="O26"/>
    </sheetView>
  </sheetViews>
  <sheetFormatPr defaultRowHeight="15" x14ac:dyDescent="0.25"/>
  <cols>
    <col min="7" max="7" width="9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v>0.433</v>
      </c>
    </row>
    <row r="6" spans="2:36" x14ac:dyDescent="0.25">
      <c r="B6" s="1" t="s">
        <v>3</v>
      </c>
      <c r="C6" s="1">
        <v>5000</v>
      </c>
      <c r="D6">
        <v>5000.2839999999997</v>
      </c>
    </row>
    <row r="7" spans="2:36" x14ac:dyDescent="0.25">
      <c r="B7" s="1"/>
      <c r="C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1"/>
      <c r="C11" s="1"/>
    </row>
    <row r="12" spans="2:36" x14ac:dyDescent="0.25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25">
      <c r="B13" s="1" t="s">
        <v>11</v>
      </c>
      <c r="C13" s="1">
        <v>92000</v>
      </c>
      <c r="E13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 x14ac:dyDescent="0.25">
      <c r="B14" s="1" t="s">
        <v>9</v>
      </c>
      <c r="C14" s="1">
        <v>100</v>
      </c>
      <c r="E14" s="1" t="s">
        <v>7</v>
      </c>
      <c r="F14" s="1">
        <f>(F18/C10)*C4+G14</f>
        <v>299.99997763459675</v>
      </c>
      <c r="G14" s="1">
        <v>293.33331096793006</v>
      </c>
      <c r="H14" s="1">
        <v>286.66664436466061</v>
      </c>
      <c r="I14" s="1">
        <v>279.99997782460849</v>
      </c>
      <c r="J14" s="1">
        <v>273.33331134741508</v>
      </c>
      <c r="K14" s="1">
        <v>266.66664493254297</v>
      </c>
      <c r="L14" s="1">
        <v>259.99997857927877</v>
      </c>
      <c r="M14" s="1">
        <v>253.33331228673376</v>
      </c>
      <c r="N14" s="1">
        <v>246.66664605384776</v>
      </c>
      <c r="O14" s="1">
        <v>239.99997987939091</v>
      </c>
      <c r="P14" s="1">
        <v>233.33331376196827</v>
      </c>
      <c r="Q14" s="1">
        <v>226.66664770002262</v>
      </c>
      <c r="R14" s="1">
        <v>219.99998169184016</v>
      </c>
      <c r="S14" s="1">
        <v>213.33331573555401</v>
      </c>
      <c r="T14" s="1">
        <v>206.66664982915083</v>
      </c>
      <c r="U14" s="1">
        <v>199.99998397047526</v>
      </c>
      <c r="V14" s="1">
        <v>193.33331815723727</v>
      </c>
      <c r="W14" s="1">
        <v>186.66665238701742</v>
      </c>
      <c r="X14" s="1">
        <v>179.99998665727495</v>
      </c>
      <c r="Y14" s="1">
        <v>173.33332096535372</v>
      </c>
      <c r="Z14" s="1">
        <v>166.66665530849104</v>
      </c>
      <c r="AA14" s="1">
        <v>159.9999896838242</v>
      </c>
      <c r="AB14" s="1">
        <v>153.33332408839982</v>
      </c>
      <c r="AC14" s="1">
        <v>146.66665851918108</v>
      </c>
      <c r="AD14" s="1">
        <v>139.99999297305737</v>
      </c>
      <c r="AE14" s="1">
        <v>133.33332744685219</v>
      </c>
      <c r="AF14" s="1">
        <v>126.666661937333</v>
      </c>
      <c r="AG14" s="1">
        <v>119.99999644121954</v>
      </c>
      <c r="AH14" s="1">
        <v>113.33333095519386</v>
      </c>
      <c r="AI14" s="1">
        <v>106.66666547590927</v>
      </c>
      <c r="AJ14" s="1">
        <v>100</v>
      </c>
    </row>
    <row r="17" spans="2:36" x14ac:dyDescent="0.25">
      <c r="E17" s="1" t="s">
        <v>10</v>
      </c>
      <c r="F17" s="1"/>
      <c r="G17" s="4">
        <f>G14+(($C$10*$C$5)/($C$9*$C$8))*((H14-2*G14+F14)/($C$4^2))</f>
        <v>293.33331099960429</v>
      </c>
      <c r="H17" s="4">
        <f t="shared" ref="H17:AI17" si="1">H14+(($C$10*$C$5)/($C$9*$C$8))*((I14-2*H14+G14)/($C$4^2))</f>
        <v>286.66664439624498</v>
      </c>
      <c r="I17" s="4">
        <f t="shared" si="1"/>
        <v>279.99997785601369</v>
      </c>
      <c r="J17" s="4">
        <f t="shared" si="1"/>
        <v>273.33331137855174</v>
      </c>
      <c r="K17" s="4">
        <f t="shared" si="1"/>
        <v>266.66664496332322</v>
      </c>
      <c r="L17" s="4">
        <f t="shared" si="1"/>
        <v>259.99997860961503</v>
      </c>
      <c r="M17" s="4">
        <f t="shared" si="1"/>
        <v>253.33331231654034</v>
      </c>
      <c r="N17" s="4">
        <f t="shared" si="1"/>
        <v>246.66664608303986</v>
      </c>
      <c r="O17" s="4">
        <f t="shared" si="1"/>
        <v>239.99997990788609</v>
      </c>
      <c r="P17" s="4">
        <f t="shared" si="1"/>
        <v>233.33331378968543</v>
      </c>
      <c r="Q17" s="4">
        <f t="shared" si="1"/>
        <v>226.66664772688353</v>
      </c>
      <c r="R17" s="4">
        <f t="shared" si="1"/>
        <v>219.99998171776835</v>
      </c>
      <c r="S17" s="4">
        <f t="shared" si="1"/>
        <v>213.3333157604763</v>
      </c>
      <c r="T17" s="4">
        <f t="shared" si="1"/>
        <v>206.66664985299627</v>
      </c>
      <c r="U17" s="4">
        <f t="shared" si="1"/>
        <v>199.99998399317658</v>
      </c>
      <c r="V17" s="4">
        <f t="shared" si="1"/>
        <v>193.3333181787298</v>
      </c>
      <c r="W17" s="4">
        <f t="shared" si="1"/>
        <v>186.66665240724055</v>
      </c>
      <c r="X17" s="4">
        <f t="shared" si="1"/>
        <v>179.99998667617103</v>
      </c>
      <c r="Y17" s="4">
        <f t="shared" si="1"/>
        <v>173.33332098286951</v>
      </c>
      <c r="Z17" s="4">
        <f t="shared" si="1"/>
        <v>166.66665532457657</v>
      </c>
      <c r="AA17" s="4">
        <f t="shared" si="1"/>
        <v>159.99998969843418</v>
      </c>
      <c r="AB17" s="4">
        <f t="shared" si="1"/>
        <v>153.33332410149256</v>
      </c>
      <c r="AC17" s="4">
        <f t="shared" si="1"/>
        <v>146.6666585307197</v>
      </c>
      <c r="AD17" s="4">
        <f t="shared" si="1"/>
        <v>139.99999298300898</v>
      </c>
      <c r="AE17" s="4">
        <f t="shared" si="1"/>
        <v>133.33332745518877</v>
      </c>
      <c r="AF17" s="4">
        <f t="shared" si="1"/>
        <v>126.66666194403071</v>
      </c>
      <c r="AG17" s="4">
        <f t="shared" si="1"/>
        <v>119.99999644625954</v>
      </c>
      <c r="AH17" s="4">
        <f t="shared" si="1"/>
        <v>113.33333095856182</v>
      </c>
      <c r="AI17" s="4">
        <f t="shared" si="1"/>
        <v>106.66666547759563</v>
      </c>
      <c r="AJ17" s="1"/>
    </row>
    <row r="18" spans="2:36" x14ac:dyDescent="0.25">
      <c r="B18">
        <f>(C9*C8*C4^2)/(2*C10)</f>
        <v>0.4333333333333334</v>
      </c>
      <c r="E18" s="5" t="s">
        <v>12</v>
      </c>
      <c r="F18">
        <f>C13</f>
        <v>92000</v>
      </c>
      <c r="G18">
        <f t="shared" ref="G18:AI18" si="2">-$C$10*((G14-F14))/$C$4</f>
        <v>92000.000000000262</v>
      </c>
      <c r="H18">
        <f t="shared" si="2"/>
        <v>91999.999125118382</v>
      </c>
      <c r="I18">
        <f t="shared" si="2"/>
        <v>91999.998252719248</v>
      </c>
      <c r="J18">
        <f t="shared" si="2"/>
        <v>91999.997385269147</v>
      </c>
      <c r="K18">
        <f t="shared" si="2"/>
        <v>91999.996525235125</v>
      </c>
      <c r="L18">
        <f t="shared" si="2"/>
        <v>91999.995675045822</v>
      </c>
      <c r="M18">
        <f t="shared" si="2"/>
        <v>91999.994837121223</v>
      </c>
      <c r="N18">
        <f t="shared" si="2"/>
        <v>91999.994013826814</v>
      </c>
      <c r="O18">
        <f t="shared" si="2"/>
        <v>91999.993207504522</v>
      </c>
      <c r="P18">
        <f t="shared" si="2"/>
        <v>91999.992420432376</v>
      </c>
      <c r="Q18">
        <f t="shared" si="2"/>
        <v>91999.991654849931</v>
      </c>
      <c r="R18">
        <f t="shared" si="2"/>
        <v>91999.990912917943</v>
      </c>
      <c r="S18">
        <f t="shared" si="2"/>
        <v>91999.990196748899</v>
      </c>
      <c r="T18">
        <f t="shared" si="2"/>
        <v>91999.989508363898</v>
      </c>
      <c r="U18">
        <f t="shared" si="2"/>
        <v>91999.988849722882</v>
      </c>
      <c r="V18">
        <f t="shared" si="2"/>
        <v>91999.988222684173</v>
      </c>
      <c r="W18">
        <f t="shared" si="2"/>
        <v>91999.987629033931</v>
      </c>
      <c r="X18">
        <f t="shared" si="2"/>
        <v>91999.987070446165</v>
      </c>
      <c r="Y18">
        <f t="shared" si="2"/>
        <v>91999.986548512898</v>
      </c>
      <c r="Z18">
        <f t="shared" si="2"/>
        <v>91999.986064704921</v>
      </c>
      <c r="AA18">
        <f t="shared" si="2"/>
        <v>91999.985620402498</v>
      </c>
      <c r="AB18">
        <f t="shared" si="2"/>
        <v>91999.985216856396</v>
      </c>
      <c r="AC18">
        <f t="shared" si="2"/>
        <v>91999.984855218558</v>
      </c>
      <c r="AD18">
        <f t="shared" si="2"/>
        <v>91999.984536507196</v>
      </c>
      <c r="AE18">
        <f t="shared" si="2"/>
        <v>91999.984261631471</v>
      </c>
      <c r="AF18">
        <f t="shared" si="2"/>
        <v>91999.984031364831</v>
      </c>
      <c r="AG18">
        <f t="shared" si="2"/>
        <v>91999.983846365838</v>
      </c>
      <c r="AH18">
        <f t="shared" si="2"/>
        <v>91999.983707154344</v>
      </c>
      <c r="AI18">
        <f t="shared" si="2"/>
        <v>91999.983614127326</v>
      </c>
    </row>
  </sheetData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2021-03-21T09:00:09Z</dcterms:modified>
</cp:coreProperties>
</file>